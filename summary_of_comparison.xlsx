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pnnl-my.sharepoint.com/personal/niazbahar_chowdhury_pnnl_gov/Documents/Desktop/RapidKnock/"/>
    </mc:Choice>
  </mc:AlternateContent>
  <xr:revisionPtr revIDLastSave="7" documentId="13_ncr:1_{E5932C6A-C19F-4F54-B756-9BF3151A195C}" xr6:coauthVersionLast="47" xr6:coauthVersionMax="47" xr10:uidLastSave="{C131E81B-45EC-4DC5-AF70-15BC89CB9B65}"/>
  <bookViews>
    <workbookView xWindow="-110" yWindow="-110" windowWidth="19420" windowHeight="11500" xr2:uid="{00000000-000D-0000-FFFF-FFFF00000000}"/>
  </bookViews>
  <sheets>
    <sheet name="Case1" sheetId="3" r:id="rId1"/>
    <sheet name="Case2" sheetId="1" r:id="rId2"/>
    <sheet name="Case3" sheetId="2" r:id="rId3"/>
  </sheets>
  <definedNames>
    <definedName name="_xlnm._FilterDatabase" localSheetId="0" hidden="1">Case1!$A$1:$F$4</definedName>
    <definedName name="_xlnm._FilterDatabase" localSheetId="1" hidden="1">Case2!$A$1:$H$1</definedName>
    <definedName name="_xlnm._FilterDatabase" localSheetId="2" hidden="1">Case3!$A$1:$F$1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2" i="1"/>
</calcChain>
</file>

<file path=xl/sharedStrings.xml><?xml version="1.0" encoding="utf-8"?>
<sst xmlns="http://schemas.openxmlformats.org/spreadsheetml/2006/main" count="70" uniqueCount="30">
  <si>
    <t>Tool</t>
  </si>
  <si>
    <t>GreedyKnock</t>
  </si>
  <si>
    <t>OptKnock</t>
  </si>
  <si>
    <t>Iter1 (s)</t>
  </si>
  <si>
    <t>Iter2 (s)</t>
  </si>
  <si>
    <t>Growth</t>
  </si>
  <si>
    <t>Yield</t>
  </si>
  <si>
    <t>Total time (s)</t>
  </si>
  <si>
    <t>LDH_D, ALCD2x, ACALD, ATPS4rpp</t>
  </si>
  <si>
    <t>KOs</t>
  </si>
  <si>
    <t>Note:</t>
  </si>
  <si>
    <t>4 KOs</t>
  </si>
  <si>
    <t>LDH_D, ALCD2x</t>
  </si>
  <si>
    <t>2 KOs</t>
  </si>
  <si>
    <t>Iter2:</t>
  </si>
  <si>
    <t>Iter1:</t>
  </si>
  <si>
    <t>ACALD, ATPS4rpp</t>
  </si>
  <si>
    <t>Stepsize</t>
  </si>
  <si>
    <t>Turn off previous</t>
  </si>
  <si>
    <t>Yes</t>
  </si>
  <si>
    <t>Not applicable</t>
  </si>
  <si>
    <t>PFL, THD2pp, LDH_D, ACALD</t>
  </si>
  <si>
    <t>Solver</t>
  </si>
  <si>
    <t>GLPK</t>
  </si>
  <si>
    <t>Gurobi</t>
  </si>
  <si>
    <t>ACALD, ATPS4rpp, LDH_D, ALCD2x</t>
  </si>
  <si>
    <t>ATPS4rpp, ALCD2x, TALA, LDH_D</t>
  </si>
  <si>
    <t>ATPS4rpp, ALCD2x</t>
  </si>
  <si>
    <t>GLCptspp, PYK, TKT2, ALCD2x</t>
  </si>
  <si>
    <t>RapidKnock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</si>
</sst>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4EA43-605D-4AF9-A35C-9E8078D920E0}">
  <dimension ref="A1:N4"/>
  <sheetViews>
    <sheetView tabSelected="1" workbookViewId="0">
      <selection activeCell="C12" sqref="C12"/>
    </sheetView>
  </sheetViews>
  <sheetFormatPr defaultRowHeight="14.5" x14ac:dyDescent="0.35"/>
  <cols>
    <col min="1" max="1" width="12.08984375" style="1" bestFit="1" customWidth="1"/>
    <col min="2" max="2" width="16.6328125" style="1" bestFit="1" customWidth="1"/>
    <col min="3" max="3" width="16.08984375" style="1" bestFit="1" customWidth="1"/>
    <col min="4" max="4" width="10.453125" style="1" bestFit="1" customWidth="1"/>
    <col min="5" max="5" width="11.6328125" style="1" bestFit="1" customWidth="1"/>
    <col min="6" max="6" width="9.36328125" style="1" bestFit="1" customWidth="1"/>
    <col min="7" max="16384" width="8.7265625" style="1"/>
  </cols>
  <sheetData>
    <row r="1" spans="1:14" x14ac:dyDescent="0.35">
      <c r="A1" s="1" t="s">
        <v>0</v>
      </c>
      <c r="B1" s="1" t="s">
        <v>7</v>
      </c>
      <c r="C1" s="1" t="s">
        <v>9</v>
      </c>
      <c r="D1" s="2" t="s">
        <v>22</v>
      </c>
      <c r="E1" s="1" t="s">
        <v>5</v>
      </c>
      <c r="F1" s="1" t="s">
        <v>6</v>
      </c>
      <c r="M1" s="1" t="s">
        <v>10</v>
      </c>
      <c r="N1" s="1" t="s">
        <v>13</v>
      </c>
    </row>
    <row r="2" spans="1:14" x14ac:dyDescent="0.35">
      <c r="A2" s="2" t="s">
        <v>29</v>
      </c>
      <c r="B2" s="1">
        <v>134.53</v>
      </c>
      <c r="C2" s="1" t="s">
        <v>12</v>
      </c>
      <c r="D2" s="2" t="s">
        <v>24</v>
      </c>
      <c r="E2" s="1">
        <v>9.7299999999999998E-2</v>
      </c>
      <c r="F2" s="1">
        <v>0.92100000000000004</v>
      </c>
      <c r="M2" s="1" t="s">
        <v>17</v>
      </c>
      <c r="N2" s="1">
        <v>2</v>
      </c>
    </row>
    <row r="3" spans="1:14" x14ac:dyDescent="0.35">
      <c r="A3" s="2" t="s">
        <v>29</v>
      </c>
      <c r="B3" s="1">
        <v>157.72999999999999</v>
      </c>
      <c r="C3" s="1" t="s">
        <v>27</v>
      </c>
      <c r="D3" s="1" t="s">
        <v>23</v>
      </c>
      <c r="E3" s="1">
        <v>0.10150000000000001</v>
      </c>
      <c r="F3" s="1">
        <v>3.9E-2</v>
      </c>
    </row>
    <row r="4" spans="1:14" x14ac:dyDescent="0.35">
      <c r="A4" s="1" t="s">
        <v>2</v>
      </c>
      <c r="B4" s="1">
        <v>418.56</v>
      </c>
      <c r="C4" s="1" t="s">
        <v>12</v>
      </c>
      <c r="D4" s="2" t="s">
        <v>24</v>
      </c>
      <c r="E4" s="1">
        <v>9.7299999999999998E-2</v>
      </c>
      <c r="F4" s="1">
        <v>0.92100000000000004</v>
      </c>
    </row>
  </sheetData>
  <autoFilter ref="A1:F3" xr:uid="{CF64EA43-605D-4AF9-A35C-9E8078D920E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"/>
  <sheetViews>
    <sheetView workbookViewId="0">
      <selection activeCell="A3" sqref="A3"/>
    </sheetView>
  </sheetViews>
  <sheetFormatPr defaultRowHeight="14.5" x14ac:dyDescent="0.35"/>
  <cols>
    <col min="1" max="1" width="12.08984375" style="1" customWidth="1"/>
    <col min="2" max="3" width="12" style="1" bestFit="1" customWidth="1"/>
    <col min="4" max="4" width="16.6328125" style="1" bestFit="1" customWidth="1"/>
    <col min="5" max="5" width="29.81640625" style="1" bestFit="1" customWidth="1"/>
    <col min="6" max="6" width="10.453125" style="1" bestFit="1" customWidth="1"/>
    <col min="7" max="7" width="11.7265625" style="1" bestFit="1" customWidth="1"/>
    <col min="8" max="8" width="9.6328125" style="1" customWidth="1"/>
    <col min="9" max="12" width="8.7265625" style="1"/>
    <col min="13" max="13" width="15.54296875" style="1" bestFit="1" customWidth="1"/>
    <col min="14" max="15" width="8.7265625" style="1"/>
    <col min="16" max="16" width="12.08984375" style="1" bestFit="1" customWidth="1"/>
    <col min="17" max="17" width="15.6328125" style="1" bestFit="1" customWidth="1"/>
    <col min="18" max="18" width="17.26953125" style="1" bestFit="1" customWidth="1"/>
    <col min="19" max="19" width="14.1796875" style="1" bestFit="1" customWidth="1"/>
    <col min="20" max="16384" width="8.7265625" style="1"/>
  </cols>
  <sheetData>
    <row r="1" spans="1:17" x14ac:dyDescent="0.35">
      <c r="A1" s="1" t="s">
        <v>0</v>
      </c>
      <c r="B1" s="1" t="s">
        <v>3</v>
      </c>
      <c r="C1" s="1" t="s">
        <v>4</v>
      </c>
      <c r="D1" s="1" t="s">
        <v>7</v>
      </c>
      <c r="E1" s="1" t="s">
        <v>9</v>
      </c>
      <c r="F1" s="2" t="s">
        <v>22</v>
      </c>
      <c r="G1" s="1" t="s">
        <v>5</v>
      </c>
      <c r="H1" s="1" t="s">
        <v>6</v>
      </c>
      <c r="M1" s="1" t="s">
        <v>10</v>
      </c>
      <c r="N1" s="1" t="s">
        <v>11</v>
      </c>
      <c r="P1" s="1" t="s">
        <v>1</v>
      </c>
    </row>
    <row r="2" spans="1:17" x14ac:dyDescent="0.35">
      <c r="A2" s="2" t="s">
        <v>29</v>
      </c>
      <c r="B2" s="1">
        <v>328.56</v>
      </c>
      <c r="D2" s="1">
        <f>B2+C2</f>
        <v>328.56</v>
      </c>
      <c r="E2" s="1" t="s">
        <v>8</v>
      </c>
      <c r="F2" s="2" t="s">
        <v>24</v>
      </c>
      <c r="G2" s="1">
        <v>1.47E-2</v>
      </c>
      <c r="H2" s="1">
        <v>1.325</v>
      </c>
      <c r="M2" s="1" t="s">
        <v>17</v>
      </c>
      <c r="N2" s="1">
        <v>2</v>
      </c>
      <c r="P2" s="1" t="s">
        <v>15</v>
      </c>
      <c r="Q2" s="1" t="s">
        <v>12</v>
      </c>
    </row>
    <row r="3" spans="1:17" x14ac:dyDescent="0.35">
      <c r="A3" s="2" t="s">
        <v>29</v>
      </c>
      <c r="B3" s="1">
        <v>282.39999999999998</v>
      </c>
      <c r="D3" s="1">
        <v>282.39999999999998</v>
      </c>
      <c r="E3" s="1" t="s">
        <v>26</v>
      </c>
      <c r="F3" s="1" t="s">
        <v>23</v>
      </c>
      <c r="G3" s="1">
        <v>1.4999999999999999E-2</v>
      </c>
      <c r="H3" s="1">
        <v>1.321</v>
      </c>
      <c r="M3" s="1" t="s">
        <v>18</v>
      </c>
      <c r="N3" s="1" t="s">
        <v>19</v>
      </c>
      <c r="P3" s="1" t="s">
        <v>14</v>
      </c>
      <c r="Q3" s="1" t="s">
        <v>16</v>
      </c>
    </row>
    <row r="4" spans="1:17" x14ac:dyDescent="0.35">
      <c r="A4" s="1" t="s">
        <v>2</v>
      </c>
      <c r="B4" s="1">
        <v>418.56</v>
      </c>
      <c r="C4" s="1">
        <v>393.55</v>
      </c>
      <c r="D4" s="1">
        <f>B4+C4</f>
        <v>812.11</v>
      </c>
      <c r="E4" s="1" t="s">
        <v>8</v>
      </c>
      <c r="F4" s="2" t="s">
        <v>24</v>
      </c>
      <c r="G4" s="1">
        <v>1.49E-2</v>
      </c>
      <c r="H4" s="1">
        <v>1.325</v>
      </c>
    </row>
    <row r="5" spans="1:17" x14ac:dyDescent="0.35">
      <c r="P5" s="1" t="s">
        <v>2</v>
      </c>
    </row>
    <row r="6" spans="1:17" x14ac:dyDescent="0.35">
      <c r="P6" s="1" t="s">
        <v>15</v>
      </c>
      <c r="Q6" s="1" t="s">
        <v>12</v>
      </c>
    </row>
    <row r="7" spans="1:17" x14ac:dyDescent="0.35">
      <c r="P7" s="1" t="s">
        <v>14</v>
      </c>
      <c r="Q7" s="1" t="s">
        <v>16</v>
      </c>
    </row>
  </sheetData>
  <autoFilter ref="A1:H1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9B49C-1F76-4418-839F-C13EA1E7E2CD}">
  <dimension ref="A1:K4"/>
  <sheetViews>
    <sheetView workbookViewId="0">
      <selection activeCell="A3" sqref="A3"/>
    </sheetView>
  </sheetViews>
  <sheetFormatPr defaultRowHeight="14.5" x14ac:dyDescent="0.35"/>
  <cols>
    <col min="1" max="1" width="12.08984375" style="2" bestFit="1" customWidth="1"/>
    <col min="2" max="2" width="16.6328125" style="2" bestFit="1" customWidth="1"/>
    <col min="3" max="3" width="43.08984375" style="2" bestFit="1" customWidth="1"/>
    <col min="4" max="4" width="10.453125" style="2" bestFit="1" customWidth="1"/>
    <col min="5" max="5" width="11.7265625" style="2" bestFit="1" customWidth="1"/>
    <col min="6" max="6" width="9.6328125" style="2" customWidth="1"/>
    <col min="7" max="9" width="8.7265625" style="2"/>
    <col min="10" max="10" width="15.54296875" style="2" bestFit="1" customWidth="1"/>
    <col min="11" max="11" width="13.36328125" style="2" bestFit="1" customWidth="1"/>
    <col min="12" max="16384" width="8.7265625" style="2"/>
  </cols>
  <sheetData>
    <row r="1" spans="1:11" x14ac:dyDescent="0.35">
      <c r="A1" s="2" t="s">
        <v>0</v>
      </c>
      <c r="B1" s="2" t="s">
        <v>7</v>
      </c>
      <c r="C1" s="2" t="s">
        <v>9</v>
      </c>
      <c r="D1" s="2" t="s">
        <v>22</v>
      </c>
      <c r="E1" s="2" t="s">
        <v>5</v>
      </c>
      <c r="F1" s="2" t="s">
        <v>6</v>
      </c>
      <c r="J1" s="2" t="s">
        <v>10</v>
      </c>
      <c r="K1" s="2" t="s">
        <v>11</v>
      </c>
    </row>
    <row r="2" spans="1:11" x14ac:dyDescent="0.35">
      <c r="A2" s="2" t="s">
        <v>29</v>
      </c>
      <c r="B2" s="2">
        <v>62364.87</v>
      </c>
      <c r="C2" s="2" t="s">
        <v>21</v>
      </c>
      <c r="D2" s="2" t="s">
        <v>24</v>
      </c>
      <c r="E2" s="2">
        <v>4.2099999999999999E-2</v>
      </c>
      <c r="F2" s="2">
        <v>1.3107</v>
      </c>
      <c r="J2" s="2" t="s">
        <v>17</v>
      </c>
      <c r="K2" s="2">
        <v>4</v>
      </c>
    </row>
    <row r="3" spans="1:11" x14ac:dyDescent="0.35">
      <c r="A3" s="2" t="s">
        <v>29</v>
      </c>
      <c r="B3" s="2">
        <v>69363.09</v>
      </c>
      <c r="C3" s="2" t="s">
        <v>28</v>
      </c>
      <c r="D3" s="2" t="s">
        <v>23</v>
      </c>
      <c r="E3" s="2">
        <v>6.9400000000000003E-2</v>
      </c>
      <c r="F3" s="2">
        <v>0.9516</v>
      </c>
      <c r="J3" s="2" t="s">
        <v>18</v>
      </c>
      <c r="K3" s="2" t="s">
        <v>20</v>
      </c>
    </row>
    <row r="4" spans="1:11" x14ac:dyDescent="0.35">
      <c r="A4" s="2" t="s">
        <v>2</v>
      </c>
      <c r="B4" s="2">
        <v>90245.27</v>
      </c>
      <c r="C4" s="2" t="s">
        <v>25</v>
      </c>
      <c r="D4" s="2" t="s">
        <v>24</v>
      </c>
      <c r="E4" s="2">
        <v>1.47E-2</v>
      </c>
      <c r="F4" s="2">
        <v>0.95899999999999996</v>
      </c>
    </row>
  </sheetData>
  <autoFilter ref="A1:F1" xr:uid="{5029B49C-1F76-4418-839F-C13EA1E7E2CD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Case1</vt:lpstr>
      <vt:lpstr>Case2</vt:lpstr>
      <vt:lpstr>Case3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Chowdhury, Niaz</dc:creator>
  <cp:lastModifiedBy>Chowdhury, Niaz</cp:lastModifiedBy>
  <dcterms:created xsi:type="dcterms:W3CDTF">2015-06-05T18:17:20Z</dcterms:created>
  <dcterms:modified xsi:type="dcterms:W3CDTF">2026-06-26T16:57:05Z</dcterms:modified>
</cp:coreProperties>
</file>